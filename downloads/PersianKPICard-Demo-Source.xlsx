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446bf23d9440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راهنما" sheetId="1" r:id="R3d7517c7b037413f"/>
    <x:sheet xmlns:r="http://schemas.openxmlformats.org/officeDocument/2006/relationships" name="Sales" sheetId="2" r:id="Rbb4ca36b7ab44856"/>
    <x:sheet xmlns:r="http://schemas.openxmlformats.org/officeDocument/2006/relationships" name="DAX Measures" sheetId="3" r:id="R65ef394a7c674a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%"/>
  </x:numFmts>
  <x:fonts count="12">
    <x:font>
      <x:sz val="11"/>
      <x:name val="Carlito"/>
    </x:font>
    <x:font>
      <x:b/>
      <x:sz val="22"/>
      <x:color rgb="FFFFFFFF"/>
      <x:name val="Dana DemiBold"/>
    </x:font>
    <x:font>
      <x:sz val="12"/>
      <x:color rgb="FF102A43"/>
      <x:name val="Dana Regular"/>
    </x:font>
    <x:font>
      <x:b/>
      <x:sz val="13"/>
      <x:color rgb="FFFFFFFF"/>
      <x:name val="Dana DemiBold"/>
    </x:font>
    <x:font>
      <x:sz val="11"/>
      <x:color rgb="FF102A43"/>
      <x:name val="Dana Regular"/>
    </x:font>
    <x:font>
      <x:b/>
      <x:sz val="14"/>
      <x:color rgb="FFFF9D25"/>
      <x:name val="Dana DemiBold"/>
    </x:font>
    <x:font>
      <x:i/>
      <x:sz val="10"/>
      <x:color rgb="FF8A4B00"/>
      <x:name val="Dana Regular"/>
    </x:font>
    <x:font>
      <x:b/>
      <x:sz val="10"/>
      <x:color rgb="FFFFFFFF"/>
      <x:name val="Dana DemiBold"/>
    </x:font>
    <x:font>
      <x:sz val="10"/>
      <x:color rgb="FF102A43"/>
      <x:name val="Dana Regular"/>
    </x:font>
    <x:font>
      <x:b/>
      <x:sz val="20"/>
      <x:color rgb="FFFFFFFF"/>
      <x:name val="Dana DemiBold"/>
    </x:font>
    <x:font>
      <x:b/>
      <x:sz val="12"/>
      <x:color rgb="FFFFFFFF"/>
      <x:name val="Dana DemiBold"/>
    </x:font>
    <x:font>
      <x:b/>
      <x:sz val="11"/>
      <x:color rgb="FF0078D4"/>
      <x:name val="Dana DemiBold"/>
    </x:font>
  </x:fonts>
  <x:fills count="7">
    <x:fill>
      <x:patternFill patternType="none"/>
    </x:fill>
    <x:fill>
      <x:patternFill patternType="gray125"/>
    </x:fill>
    <x:fill>
      <x:patternFill patternType="solid">
        <x:fgColor rgb="FF0B2740"/>
      </x:patternFill>
    </x:fill>
    <x:fill>
      <x:patternFill patternType="solid">
        <x:fgColor rgb="FFEAF5FD"/>
      </x:patternFill>
    </x:fill>
    <x:fill>
      <x:patternFill patternType="solid">
        <x:fgColor rgb="FF0078D4"/>
      </x:patternFill>
    </x:fill>
    <x:fill>
      <x:patternFill patternType="solid">
        <x:fgColor rgb="FFFFFFFF"/>
      </x:patternFill>
    </x:fill>
    <x:fill>
      <x:patternFill patternType="solid">
        <x:fgColor rgb="FFFFF5E8"/>
      </x:patternFill>
    </x:fill>
  </x:fills>
  <x:borders count="15">
    <x:border/>
    <x:border>
      <x:left style="thin">
        <x:color rgb="FFC9DCEB"/>
      </x:left>
      <x:top style="thin">
        <x:color rgb="FFC9DCEB"/>
      </x:top>
    </x:border>
    <x:border>
      <x:top style="thin">
        <x:color rgb="FFC9DCEB"/>
      </x:top>
    </x:border>
    <x:border>
      <x:right style="thin">
        <x:color rgb="FFC9DCEB"/>
      </x:right>
      <x:top style="thin">
        <x:color rgb="FFC9DCEB"/>
      </x:top>
    </x:border>
    <x:border>
      <x:left style="thin">
        <x:color rgb="FFC9DCEB"/>
      </x:left>
      <x:bottom style="thin">
        <x:color rgb="FFC9DCEB"/>
      </x:bottom>
    </x:border>
    <x:border>
      <x:bottom style="thin">
        <x:color rgb="FFC9DCEB"/>
      </x:bottom>
    </x:border>
    <x:border>
      <x:right style="thin">
        <x:color rgb="FFC9DCEB"/>
      </x:right>
      <x:bottom style="thin">
        <x:color rgb="FFC9DCEB"/>
      </x:bottom>
    </x:border>
    <x:border>
      <x:bottom style="thin">
        <x:color rgb="FFE6EEF5"/>
      </x:bottom>
    </x:border>
    <x:border>
      <x:top style="thin">
        <x:color rgb="FFE6EEF5"/>
      </x:top>
      <x:bottom style="thin">
        <x:color rgb="FFE6EEF5"/>
      </x:bottom>
    </x:border>
    <x:border>
      <x:top style="thin">
        <x:color rgb="FFE6EEF5"/>
      </x:top>
      <x:bottom style="thin">
        <x:color rgb="FFC9DCEB"/>
      </x:bottom>
    </x:border>
    <x:border>
      <x:bottom style="thin">
        <x:color rgb="FFEDF2F7"/>
      </x:bottom>
    </x:border>
    <x:border>
      <x:top style="thin">
        <x:color rgb="FFEDF2F7"/>
      </x:top>
      <x:bottom style="thin">
        <x:color rgb="FFEDF2F7"/>
      </x:bottom>
    </x:border>
    <x:border>
      <x:top style="thin">
        <x:color rgb="FFEDF2F7"/>
      </x:top>
    </x:border>
    <x:border>
      <x:left style="thin">
        <x:color rgb="FFC9DCEB"/>
      </x:left>
    </x:border>
    <x:border>
      <x:right style="thin">
        <x:color rgb="FFC9DCEB"/>
      </x:right>
    </x:border>
  </x:borders>
  <x:cellStyleXfs count="1">
    <x:xf numFmtId="0" fontId="0" fillId="0" borderId="0"/>
  </x:cellStyleXfs>
  <x:cellXfs count="1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right" wrapText="1"/>
    </x:xf>
    <x:xf numFmtId="0" fontId="2" fillId="3" borderId="2" xfId="0" applyNumberFormat="1" applyFont="1" applyFill="1" applyBorder="1" applyAlignment="1">
      <x:alignment horizontal="right" wrapText="1"/>
    </x:xf>
    <x:xf numFmtId="0" fontId="2" fillId="3" borderId="3" xfId="0" applyNumberFormat="1" applyFont="1" applyFill="1" applyBorder="1" applyAlignment="1">
      <x:alignment horizontal="right" wrapText="1"/>
    </x:xf>
    <x:xf numFmtId="0" fontId="2" fillId="3" borderId="4" xfId="0" applyNumberFormat="1" applyFont="1" applyFill="1" applyBorder="1" applyAlignment="1">
      <x:alignment horizontal="right" wrapText="1"/>
    </x:xf>
    <x:xf numFmtId="0" fontId="2" fillId="3" borderId="5" xfId="0" applyNumberFormat="1" applyFont="1" applyFill="1" applyBorder="1" applyAlignment="1">
      <x:alignment horizontal="right" wrapText="1"/>
    </x:xf>
    <x:xf numFmtId="0" fontId="2" fillId="3" borderId="6" xfId="0" applyNumberFormat="1" applyFont="1" applyFill="1" applyBorder="1" applyAlignment="1">
      <x:alignment horizontal="right" wrapText="1"/>
    </x:xf>
    <x:xf numFmtId="0" fontId="2" fillId="3" borderId="1" xfId="0" applyNumberFormat="1" applyFont="1" applyFill="1" applyBorder="1" applyAlignment="1">
      <x:alignment horizontal="right" vertical="center" wrapText="1"/>
    </x:xf>
    <x:xf numFmtId="0" fontId="2" fillId="3" borderId="2" xfId="0" applyNumberFormat="1" applyFont="1" applyFill="1" applyBorder="1" applyAlignment="1">
      <x:alignment horizontal="right" vertical="center" wrapText="1"/>
    </x:xf>
    <x:xf numFmtId="0" fontId="2" fillId="3" borderId="3" xfId="0" applyNumberFormat="1" applyFont="1" applyFill="1" applyBorder="1" applyAlignment="1">
      <x:alignment horizontal="right" vertical="center" wrapText="1"/>
    </x:xf>
    <x:xf numFmtId="0" fontId="2" fillId="3" borderId="4" xfId="0" applyNumberFormat="1" applyFont="1" applyFill="1" applyBorder="1" applyAlignment="1">
      <x:alignment horizontal="right" vertical="center" wrapText="1"/>
    </x:xf>
    <x:xf numFmtId="0" fontId="2" fillId="3" borderId="5" xfId="0" applyNumberFormat="1" applyFont="1" applyFill="1" applyBorder="1" applyAlignment="1">
      <x:alignment horizontal="right" vertical="center" wrapText="1"/>
    </x:xf>
    <x:xf numFmtId="0" fontId="2" fillId="3" borderId="6" xfId="0" applyNumberFormat="1" applyFont="1" applyFill="1" applyBorder="1" applyAlignment="1">
      <x:alignment horizontal="righ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0" xfId="0" applyNumberFormat="1" applyFont="1" applyFill="1" applyBorder="1"/>
    <x:xf numFmtId="0" fontId="4" fillId="5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9" xfId="0" applyNumberFormat="1" applyFont="1" applyFill="1" applyBorder="1"/>
    <x:xf numFmtId="0" fontId="4" fillId="5" borderId="7" xfId="0" applyNumberFormat="1" applyFont="1" applyFill="1" applyBorder="1" applyAlignment="1">
      <x:alignment vertical="center"/>
    </x:xf>
    <x:xf numFmtId="0" fontId="4" fillId="5" borderId="8" xfId="0" applyNumberFormat="1" applyFont="1" applyFill="1" applyBorder="1" applyAlignment="1">
      <x:alignment vertical="center"/>
    </x:xf>
    <x:xf numFmtId="0" fontId="4" fillId="5" borderId="8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9" xfId="0" applyNumberFormat="1" applyFont="1" applyFill="1" applyBorder="1" applyAlignment="1">
      <x:alignment vertical="center"/>
    </x:xf>
    <x:xf numFmtId="0" fontId="5" fillId="5" borderId="7" xfId="0" applyNumberFormat="1" applyFont="1" applyFill="1" applyBorder="1" applyAlignment="1">
      <x:alignment vertical="center"/>
    </x:xf>
    <x:xf numFmtId="0" fontId="5" fillId="5" borderId="8" xfId="0" applyNumberFormat="1" applyFont="1" applyFill="1" applyBorder="1" applyAlignment="1">
      <x:alignment vertical="center"/>
    </x:xf>
    <x:xf numFmtId="0" fontId="5" fillId="5" borderId="9" xfId="0" applyNumberFormat="1" applyFont="1" applyFill="1" applyBorder="1" applyAlignment="1">
      <x:alignment vertical="center"/>
    </x:xf>
    <x:xf numFmtId="0" fontId="5" fillId="5" borderId="7" xfId="0" applyNumberFormat="1" applyFont="1" applyFill="1" applyBorder="1" applyAlignment="1">
      <x:alignment horizontal="center" vertical="center"/>
    </x:xf>
    <x:xf numFmtId="0" fontId="5" fillId="5" borderId="8" xfId="0" applyNumberFormat="1" applyFont="1" applyFill="1" applyBorder="1" applyAlignment="1">
      <x:alignment horizontal="center" vertical="center"/>
    </x:xf>
    <x:xf numFmtId="0" fontId="5" fillId="5" borderId="9" xfId="0" applyNumberFormat="1" applyFont="1" applyFill="1" applyBorder="1" applyAlignment="1">
      <x:alignment horizontal="center" vertical="center"/>
    </x:xf>
    <x:xf numFmtId="0" fontId="4" fillId="5" borderId="7" xfId="0" applyNumberFormat="1" applyFont="1" applyFill="1" applyBorder="1" applyAlignment="1">
      <x:alignment horizontal="right" vertical="center"/>
    </x:xf>
    <x:xf numFmtId="0" fontId="4" fillId="5" borderId="8" xfId="0" applyNumberFormat="1" applyFont="1" applyFill="1" applyBorder="1" applyAlignment="1">
      <x:alignment horizontal="right" vertical="center"/>
    </x:xf>
    <x:xf numFmtId="0" fontId="4" fillId="5" borderId="9" xfId="0" applyNumberFormat="1" applyFont="1" applyFill="1" applyBorder="1" applyAlignment="1">
      <x:alignment horizontal="right" vertical="center"/>
    </x:xf>
    <x:xf numFmtId="0" fontId="4" fillId="5" borderId="7" xfId="0" applyNumberFormat="1" applyFont="1" applyFill="1" applyBorder="1" applyAlignment="1">
      <x:alignment horizontal="center" vertical="center"/>
    </x:xf>
    <x:xf numFmtId="0" fontId="4" fillId="5" borderId="8" xfId="0" applyNumberFormat="1" applyFont="1" applyFill="1" applyBorder="1" applyAlignment="1">
      <x:alignment horizontal="center" vertical="center"/>
    </x:xf>
    <x:xf numFmtId="0" fontId="4" fillId="5" borderId="8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9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right" wrapText="1"/>
    </x:xf>
    <x:xf numFmtId="0" fontId="6" fillId="6" borderId="0" xfId="0" applyNumberFormat="1" applyFont="1" applyFill="1" applyBorder="1" applyAlignment="1">
      <x:alignment horizontal="right"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center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8" fillId="5" borderId="0" xfId="0" applyNumberFormat="1" applyFont="1" applyFill="1" applyBorder="1"/>
    <x:xf numFmtId="0" fontId="8" fillId="5" borderId="10" xfId="0" applyNumberFormat="1" applyFont="1" applyFill="1" applyBorder="1"/>
    <x:xf numFmtId="0" fontId="8" fillId="5" borderId="11" xfId="0" applyNumberFormat="1" applyFont="1" applyFill="1" applyBorder="1"/>
    <x:xf numFmtId="0" fontId="8" fillId="5" borderId="12" xfId="0" applyNumberFormat="1" applyFont="1" applyFill="1" applyBorder="1"/>
    <x:xf numFmtId="0" fontId="8" fillId="5" borderId="10" xfId="0" applyNumberFormat="1" applyFont="1" applyFill="1" applyBorder="1" applyAlignment="1">
      <x:alignment vertical="center"/>
    </x:xf>
    <x:xf numFmtId="0" fontId="8" fillId="5" borderId="11" xfId="0" applyNumberFormat="1" applyFont="1" applyFill="1" applyBorder="1" applyAlignment="1">
      <x:alignment vertical="center"/>
    </x:xf>
    <x:xf numFmtId="0" fontId="8" fillId="5" borderId="12" xfId="0" applyNumberFormat="1" applyFont="1" applyFill="1" applyBorder="1" applyAlignment="1">
      <x:alignment vertical="center"/>
    </x:xf>
    <x:xf numFmtId="0" fontId="8" fillId="5" borderId="10" xfId="0" applyNumberFormat="1" applyFont="1" applyFill="1" applyBorder="1" applyAlignment="1">
      <x:alignment horizontal="center" vertical="center"/>
    </x:xf>
    <x:xf numFmtId="0" fontId="8" fillId="5" borderId="11" xfId="0" applyNumberFormat="1" applyFont="1" applyFill="1" applyBorder="1" applyAlignment="1">
      <x:alignment horizontal="center" vertical="center"/>
    </x:xf>
    <x:xf numFmtId="0" fontId="8" fillId="5" borderId="12" xfId="0" applyNumberFormat="1" applyFont="1" applyFill="1" applyBorder="1" applyAlignment="1">
      <x:alignment horizontal="center" vertical="center"/>
    </x:xf>
    <x:xf numFmtId="0" fontId="8" fillId="5" borderId="10" xfId="0" applyNumberFormat="1" applyFont="1" applyFill="1" applyBorder="1" applyAlignment="1">
      <x:alignment horizontal="right" vertical="center"/>
    </x:xf>
    <x:xf numFmtId="0" fontId="8" fillId="5" borderId="11" xfId="0" applyNumberFormat="1" applyFont="1" applyFill="1" applyBorder="1" applyAlignment="1">
      <x:alignment horizontal="right" vertical="center"/>
    </x:xf>
    <x:xf numFmtId="0" fontId="8" fillId="5" borderId="12" xfId="0" applyNumberFormat="1" applyFont="1" applyFill="1" applyBorder="1" applyAlignment="1">
      <x:alignment horizontal="right" vertical="center"/>
    </x:xf>
    <x:xf numFmtId="200" fontId="8" fillId="5" borderId="10" xfId="0" applyNumberFormat="1" applyFont="1" applyFill="1" applyBorder="1" applyAlignment="1">
      <x:alignment horizontal="center" vertical="center"/>
    </x:xf>
    <x:xf numFmtId="200" fontId="8" fillId="5" borderId="11" xfId="0" applyNumberFormat="1" applyFont="1" applyFill="1" applyBorder="1" applyAlignment="1">
      <x:alignment horizontal="center" vertical="center"/>
    </x:xf>
    <x:xf numFmtId="200" fontId="8" fillId="5" borderId="12" xfId="0" applyNumberFormat="1" applyFont="1" applyFill="1" applyBorder="1" applyAlignment="1">
      <x:alignment horizontal="center" vertical="center"/>
    </x:xf>
    <x:xf numFmtId="201" fontId="8" fillId="5" borderId="10" xfId="0" applyNumberFormat="1" applyFont="1" applyFill="1" applyBorder="1" applyAlignment="1">
      <x:alignment horizontal="right" vertical="center"/>
    </x:xf>
    <x:xf numFmtId="201" fontId="8" fillId="5" borderId="11" xfId="0" applyNumberFormat="1" applyFont="1" applyFill="1" applyBorder="1" applyAlignment="1">
      <x:alignment horizontal="right" vertical="center"/>
    </x:xf>
    <x:xf numFmtId="201" fontId="8" fillId="5" borderId="12" xfId="0" applyNumberFormat="1" applyFont="1" applyFill="1" applyBorder="1" applyAlignment="1">
      <x:alignment horizontal="right" vertical="center"/>
    </x:xf>
    <x:xf numFmtId="202" fontId="8" fillId="5" borderId="10" xfId="0" applyNumberFormat="1" applyFont="1" applyFill="1" applyBorder="1" applyAlignment="1">
      <x:alignment vertical="center"/>
    </x:xf>
    <x:xf numFmtId="202" fontId="8" fillId="5" borderId="11" xfId="0" applyNumberFormat="1" applyFont="1" applyFill="1" applyBorder="1" applyAlignment="1">
      <x:alignment vertical="center"/>
    </x:xf>
    <x:xf numFmtId="202" fontId="8" fillId="5" borderId="12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9" fillId="2" borderId="0" xfId="0" applyNumberFormat="1" applyFont="1" applyFill="1" applyBorder="1" applyAlignment="1">
      <x:alignment horizontal="center" vertical="center"/>
    </x:xf>
    <x:xf numFmtId="0" fontId="10" fillId="4" borderId="0" xfId="0" applyNumberFormat="1" applyFont="1" applyFill="1" applyBorder="1"/>
    <x:xf numFmtId="0" fontId="10" fillId="4" borderId="0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 applyAlignment="1">
      <x:alignment horizontal="center" vertical="center"/>
    </x:xf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vertical="center" wrapText="1"/>
    </x:xf>
    <x:xf numFmtId="0" fontId="11" fillId="5" borderId="7" xfId="0" applyNumberFormat="1" applyFont="1" applyFill="1" applyBorder="1" applyAlignment="1">
      <x:alignment vertical="center" wrapText="1"/>
    </x:xf>
    <x:xf numFmtId="0" fontId="11" fillId="5" borderId="8" xfId="0" applyNumberFormat="1" applyFont="1" applyFill="1" applyBorder="1" applyAlignment="1">
      <x:alignment vertical="center" wrapText="1"/>
    </x:xf>
    <x:xf numFmtId="0" fontId="11" fillId="5" borderId="9" xfId="0" applyNumberFormat="1" applyFont="1" applyFill="1" applyBorder="1" applyAlignment="1">
      <x:alignment vertical="center" wrapText="1"/>
    </x:xf>
    <x:xf numFmtId="0" fontId="2" fillId="3" borderId="13" xfId="0" applyNumberFormat="1" applyFont="1" applyFill="1" applyBorder="1"/>
    <x:xf numFmtId="0" fontId="2" fillId="3" borderId="14" xfId="0" applyNumberFormat="1" applyFont="1" applyFill="1" applyBorder="1"/>
    <x:xf numFmtId="0" fontId="2" fillId="3" borderId="13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wrapText="1"/>
    </x:xf>
    <x:xf numFmtId="0" fontId="2" fillId="3" borderId="13" xfId="0" applyNumberFormat="1" applyFont="1" applyFill="1" applyBorder="1" applyAlignment="1">
      <x:alignment horizontal="right" wrapText="1"/>
    </x:xf>
    <x:xf numFmtId="0" fontId="2" fillId="3" borderId="0" xfId="0" applyNumberFormat="1" applyFont="1" applyFill="1" applyBorder="1" applyAlignment="1">
      <x:alignment horizontal="right" wrapText="1"/>
    </x:xf>
    <x:xf numFmtId="0" fontId="2" fillId="3" borderId="14" xfId="0" applyNumberFormat="1" applyFont="1" applyFill="1" applyBorder="1" applyAlignment="1">
      <x:alignment horizontal="right" wrapText="1"/>
    </x:xf>
    <x:xf numFmtId="0" fontId="2" fillId="3" borderId="13" xfId="0" applyNumberFormat="1" applyFont="1" applyFill="1" applyBorder="1" applyAlignment="1">
      <x:alignment horizontal="right" vertical="center" wrapText="1"/>
    </x:xf>
    <x:xf numFmtId="0" fontId="2" fillId="3" borderId="0" xfId="0" applyNumberFormat="1" applyFont="1" applyFill="1" applyBorder="1" applyAlignment="1">
      <x:alignment horizontal="right" vertical="center" wrapText="1"/>
    </x:xf>
    <x:xf numFmtId="0" fontId="2" fillId="3" borderId="14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e367b43d3f439f" /><Relationship Type="http://schemas.openxmlformats.org/officeDocument/2006/relationships/theme" Target="/xl/theme/theme1.xml" Id="R5c592a2ff8944cf2" /><Relationship Type="http://schemas.microsoft.com/office/2022/11/relationships/FeaturePropertyBag" Target="/xl/featurePropertyBag/featurePropertyBag.xml" Id="Rc4cbcba53d9e4ee7" /><Relationship Type="http://schemas.openxmlformats.org/officeDocument/2006/relationships/sharedStrings" Target="/xl/sharedStrings.xml" Id="Rca45399fce484c6d" /><Relationship Type="http://schemas.openxmlformats.org/officeDocument/2006/relationships/worksheet" Target="/xl/worksheets/sheet1.xml" Id="R3d7517c7b037413f" /><Relationship Type="http://schemas.openxmlformats.org/officeDocument/2006/relationships/worksheet" Target="/xl/worksheets/sheet2.xml" Id="Rbb4ca36b7ab44856" /><Relationship Type="http://schemas.openxmlformats.org/officeDocument/2006/relationships/worksheet" Target="/xl/worksheets/sheet3.xml" Id="R65ef394a7c674a8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alesData" displayName="SalesData" ref="A1:J25" headerRowCount="1" totalsRowCount="0" totalsRowShown="0">
  <x:tableColumns count="10">
    <x:tableColumn id="1" name="RecordID"/>
    <x:tableColumn id="2" name="Period"/>
    <x:tableColumn id="3" name="Region"/>
    <x:tableColumn id="4" name="Product"/>
    <x:tableColumn id="5" name="Channel"/>
    <x:tableColumn id="6" name="SalesCurrentRial"/>
    <x:tableColumn id="7" name="SalesPriorRial"/>
    <x:tableColumn id="8" name="Orders"/>
    <x:tableColumn id="9" name="SalesChangeRial"/>
    <x:tableColumn id="10" name="SalesChangePc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cc3be8845c04e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4" t="str">
        <x:v>Persian KPI Card — Demo Source</x:v>
      </x:c>
      <x:c r="B1" s="4"/>
      <x:c r="C1" s="4"/>
      <x:c r="D1" s="4"/>
      <x:c r="E1" s="4"/>
      <x:c r="F1" s="4"/>
      <x:c r="G1" s="4"/>
      <x:c r="H1" s="4"/>
    </x:row>
    <x:row r="2" ht="34" customHeight="1">
      <x:c r="A2" s="4"/>
      <x:c r="B2" s="4"/>
      <x:c r="C2" s="4"/>
      <x:c r="D2" s="4"/>
      <x:c r="E2" s="4"/>
      <x:c r="F2" s="4"/>
      <x:c r="G2" s="4"/>
      <x:c r="H2" s="4"/>
    </x:row>
    <x:row r="3" ht="25" customHeight="1"/>
    <x:row r="4" ht="32" customHeight="1">
      <x:c r="A4" s="25" t="str">
        <x:v>این فایل، سورس آماده‌ی Power BI برای نمایش Value و Comparison Value در ویژوال Persian KPI Card است.</x:v>
      </x:c>
      <x:c r="B4" s="26"/>
      <x:c r="C4" s="26"/>
      <x:c r="D4" s="26"/>
      <x:c r="E4" s="26"/>
      <x:c r="F4" s="26"/>
      <x:c r="G4" s="26"/>
      <x:c r="H4" s="27"/>
    </x:row>
    <x:row r="5" ht="32" customHeight="1">
      <x:c r="A5" s="28"/>
      <x:c r="B5" s="29"/>
      <x:c r="C5" s="29"/>
      <x:c r="D5" s="29"/>
      <x:c r="E5" s="29"/>
      <x:c r="F5" s="29"/>
      <x:c r="G5" s="29"/>
      <x:c r="H5" s="30"/>
    </x:row>
    <x:row r="6" ht="25" customHeight="1"/>
    <x:row r="7" ht="25" customHeight="1">
      <x:c r="A7" s="34" t="str">
        <x:v>مراحل اتصال</x:v>
      </x:c>
      <x:c r="B7" s="34"/>
      <x:c r="C7" s="34"/>
      <x:c r="D7" s="34"/>
      <x:c r="E7" s="34" t="str">
        <x:v>تنظیم پیشنهادی ویژوال</x:v>
      </x:c>
      <x:c r="F7" s="34"/>
      <x:c r="G7" s="34"/>
      <x:c r="H7" s="34"/>
    </x:row>
    <x:row r="8" ht="25" customHeight="1">
      <x:c r="A8" s="51" t="str">
        <x:v>۱</x:v>
      </x:c>
      <x:c r="B8" s="54" t="str">
        <x:v>Get Data &gt; Excel</x:v>
      </x:c>
      <x:c r="C8" s="54"/>
      <x:c r="D8" s="54"/>
      <x:c r="E8" s="57" t="str">
        <x:v>Source Currency</x:v>
      </x:c>
      <x:c r="F8" s="57" t="str">
        <x:v>Rial</x:v>
      </x:c>
      <x:c r="G8" s="57" t="str">
        <x:v>Display Currency</x:v>
      </x:c>
      <x:c r="H8" s="57" t="str">
        <x:v>Toman</x:v>
      </x:c>
    </x:row>
    <x:row r="9" ht="25" customHeight="1">
      <x:c r="A9" s="52" t="str">
        <x:v>۲</x:v>
      </x:c>
      <x:c r="B9" s="55" t="str">
        <x:v>شیت Sales را انتخاب و Load کنید</x:v>
      </x:c>
      <x:c r="C9" s="55"/>
      <x:c r="D9" s="55"/>
      <x:c r="E9" s="58" t="str">
        <x:v>Digits</x:v>
      </x:c>
      <x:c r="F9" s="58" t="str">
        <x:v>Persian</x:v>
      </x:c>
      <x:c r="G9" s="58" t="str">
        <x:v>Display Units</x:v>
      </x:c>
      <x:c r="H9" s="58" t="str">
        <x:v>Auto</x:v>
      </x:c>
    </x:row>
    <x:row r="10" ht="25" customHeight="1">
      <x:c r="A10" s="52" t="str">
        <x:v>۳</x:v>
      </x:c>
      <x:c r="B10" s="55" t="str">
        <x:v>سه Measure شیت DAX Measures را بسازید</x:v>
      </x:c>
      <x:c r="C10" s="55"/>
      <x:c r="D10" s="55"/>
      <x:c r="E10" s="58" t="str">
        <x:v>Decimal Places</x:v>
      </x:c>
      <x:c r="F10" s="58" t="n">
        <x:v>1</x:v>
      </x:c>
      <x:c r="G10" s="58" t="str">
        <x:v>RTL</x:v>
      </x:c>
      <x:c r="H10" s="59" t="b">
        <x:v>1</x:v>
      </x:c>
    </x:row>
    <x:row r="11" ht="25" customHeight="1">
      <x:c r="A11" s="52" t="str">
        <x:v>۴</x:v>
      </x:c>
      <x:c r="B11" s="55" t="str">
        <x:v>Persian KPI Card.pbiviz را Import کنید</x:v>
      </x:c>
      <x:c r="C11" s="55"/>
      <x:c r="D11" s="55"/>
      <x:c r="E11" s="58" t="str">
        <x:v>Title</x:v>
      </x:c>
      <x:c r="F11" s="58" t="str">
        <x:v>فروش خالص</x:v>
      </x:c>
      <x:c r="G11" s="58" t="str">
        <x:v>Subtitle</x:v>
      </x:c>
      <x:c r="H11" s="58" t="str">
        <x:v>مقایسه با دوره قبل</x:v>
      </x:c>
    </x:row>
    <x:row r="12" ht="25" customHeight="1">
      <x:c r="A12" s="52" t="str">
        <x:v>۵</x:v>
      </x:c>
      <x:c r="B12" s="55" t="str">
        <x:v>Total Sales را در Value قرار دهید</x:v>
      </x:c>
      <x:c r="C12" s="55"/>
      <x:c r="D12" s="55"/>
      <x:c r="E12" s="58" t="str">
        <x:v>Background</x:v>
      </x:c>
      <x:c r="F12" s="58" t="str">
        <x:v>#0B2740</x:v>
      </x:c>
      <x:c r="G12" s="58" t="str">
        <x:v>Text</x:v>
      </x:c>
      <x:c r="H12" s="58" t="str">
        <x:v>White</x:v>
      </x:c>
    </x:row>
    <x:row r="13" ht="25" customHeight="1">
      <x:c r="A13" s="53" t="str">
        <x:v>۶</x:v>
      </x:c>
      <x:c r="B13" s="56" t="str">
        <x:v>Prior Sales را در Comparison Value قرار دهید</x:v>
      </x:c>
      <x:c r="C13" s="56"/>
      <x:c r="D13" s="56"/>
      <x:c r="E13" s="60" t="str">
        <x:v>Positive Color</x:v>
      </x:c>
      <x:c r="F13" s="60" t="str">
        <x:v>#21B573</x:v>
      </x:c>
      <x:c r="G13" s="60" t="str">
        <x:v>Border Radius</x:v>
      </x:c>
      <x:c r="H13" s="60" t="n">
        <x:v>24</x:v>
      </x:c>
    </x:row>
    <x:row r="14" ht="25" customHeight="1"/>
    <x:row r="15" ht="36" customHeight="1">
      <x:c r="A15" s="65" t="str">
        <x:v>نکته: مقادیر SalesCurrentRial و SalesPriorRial عمداً به ریال ذخیره شده‌اند تا تبدیل ریال/تومان داخل خود ویژوال نمایش داده شود.</x:v>
      </x:c>
      <x:c r="B15" s="65"/>
      <x:c r="C15" s="65"/>
      <x:c r="D15" s="65"/>
      <x:c r="E15" s="65"/>
      <x:c r="F15" s="65"/>
      <x:c r="G15" s="65"/>
      <x:c r="H15" s="65"/>
    </x:row>
  </x:sheetData>
  <x:mergeCells>
    <x:mergeCell ref="A1:H2"/>
    <x:mergeCell ref="A4:H5"/>
    <x:mergeCell ref="A7:D7"/>
    <x:mergeCell ref="E7:H7"/>
    <x:mergeCell ref="B8:D8"/>
    <x:mergeCell ref="B9:D9"/>
    <x:mergeCell ref="B10:D10"/>
    <x:mergeCell ref="B11:D11"/>
    <x:mergeCell ref="B12:D12"/>
    <x:mergeCell ref="B13:D13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1" hidden="0" customWidth="1"/>
    <x:col min="4" max="4" width="17" hidden="0" customWidth="1"/>
    <x:col min="5" max="5" width="11" hidden="0" customWidth="1"/>
    <x:col min="6" max="6" width="19" hidden="0" customWidth="1"/>
    <x:col min="7" max="7" width="19" hidden="0" customWidth="1"/>
    <x:col min="8" max="8" width="10" hidden="0" customWidth="1"/>
    <x:col min="9" max="9" width="18" hidden="0" customWidth="1"/>
    <x:col min="10" max="10" width="15" hidden="0" customWidth="1"/>
  </x:cols>
  <x:sheetData>
    <x:row r="1" ht="34" customHeight="1">
      <x:c r="A1" s="69" t="str">
        <x:v>RecordID</x:v>
      </x:c>
      <x:c r="B1" s="69" t="str">
        <x:v>Period</x:v>
      </x:c>
      <x:c r="C1" s="69" t="str">
        <x:v>Region</x:v>
      </x:c>
      <x:c r="D1" s="69" t="str">
        <x:v>Product</x:v>
      </x:c>
      <x:c r="E1" s="69" t="str">
        <x:v>Channel</x:v>
      </x:c>
      <x:c r="F1" s="69" t="str">
        <x:v>SalesCurrentRial</x:v>
      </x:c>
      <x:c r="G1" s="69" t="str">
        <x:v>SalesPriorRial</x:v>
      </x:c>
      <x:c r="H1" s="69" t="str">
        <x:v>Orders</x:v>
      </x:c>
      <x:c r="I1" s="69" t="str">
        <x:v>SalesChangeRial</x:v>
      </x:c>
      <x:c r="J1" s="69" t="str">
        <x:v>SalesChangePct</x:v>
      </x:c>
    </x:row>
    <x:row r="2" ht="23" customHeight="1">
      <x:c r="A2" s="77" t="str">
        <x:v>PKI-001</x:v>
      </x:c>
      <x:c r="B2" s="83" t="n">
        <x:v>46235</x:v>
      </x:c>
      <x:c r="C2" s="77" t="str">
        <x:v>تهران</x:v>
      </x:c>
      <x:c r="D2" s="77" t="str">
        <x:v>Analytics Pro</x:v>
      </x:c>
      <x:c r="E2" s="77" t="str">
        <x:v>Direct</x:v>
      </x:c>
      <x:c r="F2" s="86" t="n">
        <x:v>28600000000</x:v>
      </x:c>
      <x:c r="G2" s="86" t="n">
        <x:v>25800000000</x:v>
      </x:c>
      <x:c r="H2" s="86" t="n">
        <x:v>94</x:v>
      </x:c>
      <x:c r="I2" s="86" t="n">
        <x:f>F2-G2</x:f>
        <x:v>2800000000</x:v>
      </x:c>
      <x:c r="J2" s="89" t="n">
        <x:f>IF(G2=0,0,I2/G2)</x:f>
        <x:v>0.10852713178294573</x:v>
      </x:c>
    </x:row>
    <x:row r="3" ht="23" customHeight="1">
      <x:c r="A3" s="78" t="str">
        <x:v>PKI-002</x:v>
      </x:c>
      <x:c r="B3" s="84" t="n">
        <x:v>46235</x:v>
      </x:c>
      <x:c r="C3" s="78" t="str">
        <x:v>تهران</x:v>
      </x:c>
      <x:c r="D3" s="78" t="str">
        <x:v>Analytics Pro</x:v>
      </x:c>
      <x:c r="E3" s="78" t="str">
        <x:v>Partner</x:v>
      </x:c>
      <x:c r="F3" s="87" t="n">
        <x:v>21400000000</x:v>
      </x:c>
      <x:c r="G3" s="87" t="n">
        <x:v>20500000000</x:v>
      </x:c>
      <x:c r="H3" s="87" t="n">
        <x:v>111</x:v>
      </x:c>
      <x:c r="I3" s="87" t="n">
        <x:f>F3-G3</x:f>
        <x:v>900000000</x:v>
      </x:c>
      <x:c r="J3" s="90" t="n">
        <x:f>IF(G3=0,0,I3/G3)</x:f>
        <x:v>0.04390243902439024</x:v>
      </x:c>
    </x:row>
    <x:row r="4" ht="23" customHeight="1">
      <x:c r="A4" s="78" t="str">
        <x:v>PKI-003</x:v>
      </x:c>
      <x:c r="B4" s="84" t="n">
        <x:v>46235</x:v>
      </x:c>
      <x:c r="C4" s="78" t="str">
        <x:v>تهران</x:v>
      </x:c>
      <x:c r="D4" s="78" t="str">
        <x:v>Cloud Data</x:v>
      </x:c>
      <x:c r="E4" s="78" t="str">
        <x:v>Direct</x:v>
      </x:c>
      <x:c r="F4" s="87" t="n">
        <x:v>16700000000</x:v>
      </x:c>
      <x:c r="G4" s="87" t="n">
        <x:v>15100000000</x:v>
      </x:c>
      <x:c r="H4" s="87" t="n">
        <x:v>128</x:v>
      </x:c>
      <x:c r="I4" s="87" t="n">
        <x:f>F4-G4</x:f>
        <x:v>1600000000</x:v>
      </x:c>
      <x:c r="J4" s="90" t="n">
        <x:f>IF(G4=0,0,I4/G4)</x:f>
        <x:v>0.10596026490066225</x:v>
      </x:c>
    </x:row>
    <x:row r="5" ht="23" customHeight="1">
      <x:c r="A5" s="78" t="str">
        <x:v>PKI-004</x:v>
      </x:c>
      <x:c r="B5" s="84" t="n">
        <x:v>46235</x:v>
      </x:c>
      <x:c r="C5" s="78" t="str">
        <x:v>تهران</x:v>
      </x:c>
      <x:c r="D5" s="78" t="str">
        <x:v>Cloud Data</x:v>
      </x:c>
      <x:c r="E5" s="78" t="str">
        <x:v>Partner</x:v>
      </x:c>
      <x:c r="F5" s="87" t="n">
        <x:v>24200000000</x:v>
      </x:c>
      <x:c r="G5" s="87" t="n">
        <x:v>23100000000</x:v>
      </x:c>
      <x:c r="H5" s="87" t="n">
        <x:v>145</x:v>
      </x:c>
      <x:c r="I5" s="87" t="n">
        <x:f>F5-G5</x:f>
        <x:v>1100000000</x:v>
      </x:c>
      <x:c r="J5" s="90" t="n">
        <x:f>IF(G5=0,0,I5/G5)</x:f>
        <x:v>0.047619047619047616</x:v>
      </x:c>
    </x:row>
    <x:row r="6" ht="23" customHeight="1">
      <x:c r="A6" s="78" t="str">
        <x:v>PKI-005</x:v>
      </x:c>
      <x:c r="B6" s="84" t="n">
        <x:v>46235</x:v>
      </x:c>
      <x:c r="C6" s="78" t="str">
        <x:v>تهران</x:v>
      </x:c>
      <x:c r="D6" s="78" t="str">
        <x:v>BI Support</x:v>
      </x:c>
      <x:c r="E6" s="78" t="str">
        <x:v>Direct</x:v>
      </x:c>
      <x:c r="F6" s="87" t="n">
        <x:v>19500000000</x:v>
      </x:c>
      <x:c r="G6" s="87" t="n">
        <x:v>18700000000</x:v>
      </x:c>
      <x:c r="H6" s="87" t="n">
        <x:v>162</x:v>
      </x:c>
      <x:c r="I6" s="87" t="n">
        <x:f>F6-G6</x:f>
        <x:v>800000000</x:v>
      </x:c>
      <x:c r="J6" s="90" t="n">
        <x:f>IF(G6=0,0,I6/G6)</x:f>
        <x:v>0.0427807486631016</x:v>
      </x:c>
    </x:row>
    <x:row r="7" ht="23" customHeight="1">
      <x:c r="A7" s="78" t="str">
        <x:v>PKI-006</x:v>
      </x:c>
      <x:c r="B7" s="84" t="n">
        <x:v>46235</x:v>
      </x:c>
      <x:c r="C7" s="78" t="str">
        <x:v>تهران</x:v>
      </x:c>
      <x:c r="D7" s="78" t="str">
        <x:v>BI Support</x:v>
      </x:c>
      <x:c r="E7" s="78" t="str">
        <x:v>Partner</x:v>
      </x:c>
      <x:c r="F7" s="87" t="n">
        <x:v>14600000000</x:v>
      </x:c>
      <x:c r="G7" s="87" t="n">
        <x:v>15100000000</x:v>
      </x:c>
      <x:c r="H7" s="87" t="n">
        <x:v>179</x:v>
      </x:c>
      <x:c r="I7" s="87" t="n">
        <x:f>F7-G7</x:f>
        <x:v>-500000000</x:v>
      </x:c>
      <x:c r="J7" s="90" t="n">
        <x:f>IF(G7=0,0,I7/G7)</x:f>
        <x:v>-0.033112582781456956</x:v>
      </x:c>
    </x:row>
    <x:row r="8" ht="23" customHeight="1">
      <x:c r="A8" s="78" t="str">
        <x:v>PKI-007</x:v>
      </x:c>
      <x:c r="B8" s="84" t="n">
        <x:v>46235</x:v>
      </x:c>
      <x:c r="C8" s="78" t="str">
        <x:v>اصفهان</x:v>
      </x:c>
      <x:c r="D8" s="78" t="str">
        <x:v>Analytics Pro</x:v>
      </x:c>
      <x:c r="E8" s="78" t="str">
        <x:v>Direct</x:v>
      </x:c>
      <x:c r="F8" s="87" t="n">
        <x:v>22300000000</x:v>
      </x:c>
      <x:c r="G8" s="87" t="n">
        <x:v>20900000000</x:v>
      </x:c>
      <x:c r="H8" s="87" t="n">
        <x:v>108</x:v>
      </x:c>
      <x:c r="I8" s="87" t="n">
        <x:f>F8-G8</x:f>
        <x:v>1400000000</x:v>
      </x:c>
      <x:c r="J8" s="90" t="n">
        <x:f>IF(G8=0,0,I8/G8)</x:f>
        <x:v>0.06698564593301436</x:v>
      </x:c>
    </x:row>
    <x:row r="9" ht="23" customHeight="1">
      <x:c r="A9" s="78" t="str">
        <x:v>PKI-008</x:v>
      </x:c>
      <x:c r="B9" s="84" t="n">
        <x:v>46235</x:v>
      </x:c>
      <x:c r="C9" s="78" t="str">
        <x:v>اصفهان</x:v>
      </x:c>
      <x:c r="D9" s="78" t="str">
        <x:v>Analytics Pro</x:v>
      </x:c>
      <x:c r="E9" s="78" t="str">
        <x:v>Partner</x:v>
      </x:c>
      <x:c r="F9" s="87" t="n">
        <x:v>18100000000</x:v>
      </x:c>
      <x:c r="G9" s="87" t="n">
        <x:v>17400000000</x:v>
      </x:c>
      <x:c r="H9" s="87" t="n">
        <x:v>125</x:v>
      </x:c>
      <x:c r="I9" s="87" t="n">
        <x:f>F9-G9</x:f>
        <x:v>700000000</x:v>
      </x:c>
      <x:c r="J9" s="90" t="n">
        <x:f>IF(G9=0,0,I9/G9)</x:f>
        <x:v>0.040229885057471264</x:v>
      </x:c>
    </x:row>
    <x:row r="10" ht="23" customHeight="1">
      <x:c r="A10" s="78" t="str">
        <x:v>PKI-009</x:v>
      </x:c>
      <x:c r="B10" s="84" t="n">
        <x:v>46235</x:v>
      </x:c>
      <x:c r="C10" s="78" t="str">
        <x:v>اصفهان</x:v>
      </x:c>
      <x:c r="D10" s="78" t="str">
        <x:v>Cloud Data</x:v>
      </x:c>
      <x:c r="E10" s="78" t="str">
        <x:v>Direct</x:v>
      </x:c>
      <x:c r="F10" s="87" t="n">
        <x:v>12900000000</x:v>
      </x:c>
      <x:c r="G10" s="87" t="n">
        <x:v>13300000000</x:v>
      </x:c>
      <x:c r="H10" s="87" t="n">
        <x:v>142</x:v>
      </x:c>
      <x:c r="I10" s="87" t="n">
        <x:f>F10-G10</x:f>
        <x:v>-400000000</x:v>
      </x:c>
      <x:c r="J10" s="90" t="n">
        <x:f>IF(G10=0,0,I10/G10)</x:f>
        <x:v>-0.03007518796992481</x:v>
      </x:c>
    </x:row>
    <x:row r="11" ht="23" customHeight="1">
      <x:c r="A11" s="78" t="str">
        <x:v>PKI-010</x:v>
      </x:c>
      <x:c r="B11" s="84" t="n">
        <x:v>46235</x:v>
      </x:c>
      <x:c r="C11" s="78" t="str">
        <x:v>اصفهان</x:v>
      </x:c>
      <x:c r="D11" s="78" t="str">
        <x:v>Cloud Data</x:v>
      </x:c>
      <x:c r="E11" s="78" t="str">
        <x:v>Partner</x:v>
      </x:c>
      <x:c r="F11" s="87" t="n">
        <x:v>20700000000</x:v>
      </x:c>
      <x:c r="G11" s="87" t="n">
        <x:v>21400000000</x:v>
      </x:c>
      <x:c r="H11" s="87" t="n">
        <x:v>159</x:v>
      </x:c>
      <x:c r="I11" s="87" t="n">
        <x:f>F11-G11</x:f>
        <x:v>-700000000</x:v>
      </x:c>
      <x:c r="J11" s="90" t="n">
        <x:f>IF(G11=0,0,I11/G11)</x:f>
        <x:v>-0.03271028037383177</x:v>
      </x:c>
    </x:row>
    <x:row r="12" ht="23" customHeight="1">
      <x:c r="A12" s="78" t="str">
        <x:v>PKI-011</x:v>
      </x:c>
      <x:c r="B12" s="84" t="n">
        <x:v>46235</x:v>
      </x:c>
      <x:c r="C12" s="78" t="str">
        <x:v>اصفهان</x:v>
      </x:c>
      <x:c r="D12" s="78" t="str">
        <x:v>BI Support</x:v>
      </x:c>
      <x:c r="E12" s="78" t="str">
        <x:v>Direct</x:v>
      </x:c>
      <x:c r="F12" s="87" t="n">
        <x:v>17100000000</x:v>
      </x:c>
      <x:c r="G12" s="87" t="n">
        <x:v>16300000000</x:v>
      </x:c>
      <x:c r="H12" s="87" t="n">
        <x:v>176</x:v>
      </x:c>
      <x:c r="I12" s="87" t="n">
        <x:f>F12-G12</x:f>
        <x:v>800000000</x:v>
      </x:c>
      <x:c r="J12" s="90" t="n">
        <x:f>IF(G12=0,0,I12/G12)</x:f>
        <x:v>0.049079754601226995</x:v>
      </x:c>
    </x:row>
    <x:row r="13" ht="23" customHeight="1">
      <x:c r="A13" s="78" t="str">
        <x:v>PKI-012</x:v>
      </x:c>
      <x:c r="B13" s="84" t="n">
        <x:v>46235</x:v>
      </x:c>
      <x:c r="C13" s="78" t="str">
        <x:v>اصفهان</x:v>
      </x:c>
      <x:c r="D13" s="78" t="str">
        <x:v>BI Support</x:v>
      </x:c>
      <x:c r="E13" s="78" t="str">
        <x:v>Partner</x:v>
      </x:c>
      <x:c r="F13" s="87" t="n">
        <x:v>11800000000</x:v>
      </x:c>
      <x:c r="G13" s="87" t="n">
        <x:v>11200000000</x:v>
      </x:c>
      <x:c r="H13" s="87" t="n">
        <x:v>105</x:v>
      </x:c>
      <x:c r="I13" s="87" t="n">
        <x:f>F13-G13</x:f>
        <x:v>600000000</x:v>
      </x:c>
      <x:c r="J13" s="90" t="n">
        <x:f>IF(G13=0,0,I13/G13)</x:f>
        <x:v>0.05357142857142857</x:v>
      </x:c>
    </x:row>
    <x:row r="14" ht="23" customHeight="1">
      <x:c r="A14" s="78" t="str">
        <x:v>PKI-013</x:v>
      </x:c>
      <x:c r="B14" s="84" t="n">
        <x:v>46235</x:v>
      </x:c>
      <x:c r="C14" s="78" t="str">
        <x:v>شیراز</x:v>
      </x:c>
      <x:c r="D14" s="78" t="str">
        <x:v>Analytics Pro</x:v>
      </x:c>
      <x:c r="E14" s="78" t="str">
        <x:v>Direct</x:v>
      </x:c>
      <x:c r="F14" s="87" t="n">
        <x:v>19400000000</x:v>
      </x:c>
      <x:c r="G14" s="87" t="n">
        <x:v>18100000000</x:v>
      </x:c>
      <x:c r="H14" s="87" t="n">
        <x:v>122</x:v>
      </x:c>
      <x:c r="I14" s="87" t="n">
        <x:f>F14-G14</x:f>
        <x:v>1300000000</x:v>
      </x:c>
      <x:c r="J14" s="90" t="n">
        <x:f>IF(G14=0,0,I14/G14)</x:f>
        <x:v>0.0718232044198895</x:v>
      </x:c>
    </x:row>
    <x:row r="15" ht="23" customHeight="1">
      <x:c r="A15" s="78" t="str">
        <x:v>PKI-014</x:v>
      </x:c>
      <x:c r="B15" s="84" t="n">
        <x:v>46235</x:v>
      </x:c>
      <x:c r="C15" s="78" t="str">
        <x:v>شیراز</x:v>
      </x:c>
      <x:c r="D15" s="78" t="str">
        <x:v>Analytics Pro</x:v>
      </x:c>
      <x:c r="E15" s="78" t="str">
        <x:v>Partner</x:v>
      </x:c>
      <x:c r="F15" s="87" t="n">
        <x:v>15300000000</x:v>
      </x:c>
      <x:c r="G15" s="87" t="n">
        <x:v>14900000000</x:v>
      </x:c>
      <x:c r="H15" s="87" t="n">
        <x:v>139</x:v>
      </x:c>
      <x:c r="I15" s="87" t="n">
        <x:f>F15-G15</x:f>
        <x:v>400000000</x:v>
      </x:c>
      <x:c r="J15" s="90" t="n">
        <x:f>IF(G15=0,0,I15/G15)</x:f>
        <x:v>0.026845637583892617</x:v>
      </x:c>
    </x:row>
    <x:row r="16" ht="23" customHeight="1">
      <x:c r="A16" s="78" t="str">
        <x:v>PKI-015</x:v>
      </x:c>
      <x:c r="B16" s="84" t="n">
        <x:v>46235</x:v>
      </x:c>
      <x:c r="C16" s="78" t="str">
        <x:v>شیراز</x:v>
      </x:c>
      <x:c r="D16" s="78" t="str">
        <x:v>Cloud Data</x:v>
      </x:c>
      <x:c r="E16" s="78" t="str">
        <x:v>Direct</x:v>
      </x:c>
      <x:c r="F16" s="87" t="n">
        <x:v>10600000000</x:v>
      </x:c>
      <x:c r="G16" s="87" t="n">
        <x:v>10100000000</x:v>
      </x:c>
      <x:c r="H16" s="87" t="n">
        <x:v>156</x:v>
      </x:c>
      <x:c r="I16" s="87" t="n">
        <x:f>F16-G16</x:f>
        <x:v>500000000</x:v>
      </x:c>
      <x:c r="J16" s="90" t="n">
        <x:f>IF(G16=0,0,I16/G16)</x:f>
        <x:v>0.04950495049504951</x:v>
      </x:c>
    </x:row>
    <x:row r="17" ht="23" customHeight="1">
      <x:c r="A17" s="78" t="str">
        <x:v>PKI-016</x:v>
      </x:c>
      <x:c r="B17" s="84" t="n">
        <x:v>46235</x:v>
      </x:c>
      <x:c r="C17" s="78" t="str">
        <x:v>شیراز</x:v>
      </x:c>
      <x:c r="D17" s="78" t="str">
        <x:v>Cloud Data</x:v>
      </x:c>
      <x:c r="E17" s="78" t="str">
        <x:v>Partner</x:v>
      </x:c>
      <x:c r="F17" s="87" t="n">
        <x:v>17800000000</x:v>
      </x:c>
      <x:c r="G17" s="87" t="n">
        <x:v>16900000000</x:v>
      </x:c>
      <x:c r="H17" s="87" t="n">
        <x:v>173</x:v>
      </x:c>
      <x:c r="I17" s="87" t="n">
        <x:f>F17-G17</x:f>
        <x:v>900000000</x:v>
      </x:c>
      <x:c r="J17" s="90" t="n">
        <x:f>IF(G17=0,0,I17/G17)</x:f>
        <x:v>0.05325443786982249</x:v>
      </x:c>
    </x:row>
    <x:row r="18" ht="23" customHeight="1">
      <x:c r="A18" s="78" t="str">
        <x:v>PKI-017</x:v>
      </x:c>
      <x:c r="B18" s="84" t="n">
        <x:v>46235</x:v>
      </x:c>
      <x:c r="C18" s="78" t="str">
        <x:v>شیراز</x:v>
      </x:c>
      <x:c r="D18" s="78" t="str">
        <x:v>BI Support</x:v>
      </x:c>
      <x:c r="E18" s="78" t="str">
        <x:v>Direct</x:v>
      </x:c>
      <x:c r="F18" s="87" t="n">
        <x:v>14200000000</x:v>
      </x:c>
      <x:c r="G18" s="87" t="n">
        <x:v>14500000000</x:v>
      </x:c>
      <x:c r="H18" s="87" t="n">
        <x:v>102</x:v>
      </x:c>
      <x:c r="I18" s="87" t="n">
        <x:f>F18-G18</x:f>
        <x:v>-300000000</x:v>
      </x:c>
      <x:c r="J18" s="90" t="n">
        <x:f>IF(G18=0,0,I18/G18)</x:f>
        <x:v>-0.020689655172413793</x:v>
      </x:c>
    </x:row>
    <x:row r="19" ht="23" customHeight="1">
      <x:c r="A19" s="78" t="str">
        <x:v>PKI-018</x:v>
      </x:c>
      <x:c r="B19" s="84" t="n">
        <x:v>46235</x:v>
      </x:c>
      <x:c r="C19" s="78" t="str">
        <x:v>شیراز</x:v>
      </x:c>
      <x:c r="D19" s="78" t="str">
        <x:v>BI Support</x:v>
      </x:c>
      <x:c r="E19" s="78" t="str">
        <x:v>Partner</x:v>
      </x:c>
      <x:c r="F19" s="87" t="n">
        <x:v>9800000000</x:v>
      </x:c>
      <x:c r="G19" s="87" t="n">
        <x:v>9600000000</x:v>
      </x:c>
      <x:c r="H19" s="87" t="n">
        <x:v>119</x:v>
      </x:c>
      <x:c r="I19" s="87" t="n">
        <x:f>F19-G19</x:f>
        <x:v>200000000</x:v>
      </x:c>
      <x:c r="J19" s="90" t="n">
        <x:f>IF(G19=0,0,I19/G19)</x:f>
        <x:v>0.020833333333333332</x:v>
      </x:c>
    </x:row>
    <x:row r="20" ht="23" customHeight="1">
      <x:c r="A20" s="78" t="str">
        <x:v>PKI-019</x:v>
      </x:c>
      <x:c r="B20" s="84" t="n">
        <x:v>46235</x:v>
      </x:c>
      <x:c r="C20" s="78" t="str">
        <x:v>مشهد</x:v>
      </x:c>
      <x:c r="D20" s="78" t="str">
        <x:v>Analytics Pro</x:v>
      </x:c>
      <x:c r="E20" s="78" t="str">
        <x:v>Direct</x:v>
      </x:c>
      <x:c r="F20" s="87" t="n">
        <x:v>21800000000</x:v>
      </x:c>
      <x:c r="G20" s="87" t="n">
        <x:v>20300000000</x:v>
      </x:c>
      <x:c r="H20" s="87" t="n">
        <x:v>136</x:v>
      </x:c>
      <x:c r="I20" s="87" t="n">
        <x:f>F20-G20</x:f>
        <x:v>1500000000</x:v>
      </x:c>
      <x:c r="J20" s="90" t="n">
        <x:f>IF(G20=0,0,I20/G20)</x:f>
        <x:v>0.07389162561576355</x:v>
      </x:c>
    </x:row>
    <x:row r="21" ht="23" customHeight="1">
      <x:c r="A21" s="78" t="str">
        <x:v>PKI-020</x:v>
      </x:c>
      <x:c r="B21" s="84" t="n">
        <x:v>46235</x:v>
      </x:c>
      <x:c r="C21" s="78" t="str">
        <x:v>مشهد</x:v>
      </x:c>
      <x:c r="D21" s="78" t="str">
        <x:v>Analytics Pro</x:v>
      </x:c>
      <x:c r="E21" s="78" t="str">
        <x:v>Partner</x:v>
      </x:c>
      <x:c r="F21" s="87" t="n">
        <x:v>16900000000</x:v>
      </x:c>
      <x:c r="G21" s="87" t="n">
        <x:v>16200000000</x:v>
      </x:c>
      <x:c r="H21" s="87" t="n">
        <x:v>153</x:v>
      </x:c>
      <x:c r="I21" s="87" t="n">
        <x:f>F21-G21</x:f>
        <x:v>700000000</x:v>
      </x:c>
      <x:c r="J21" s="90" t="n">
        <x:f>IF(G21=0,0,I21/G21)</x:f>
        <x:v>0.043209876543209874</x:v>
      </x:c>
    </x:row>
    <x:row r="22" ht="23" customHeight="1">
      <x:c r="A22" s="78" t="str">
        <x:v>PKI-021</x:v>
      </x:c>
      <x:c r="B22" s="84" t="n">
        <x:v>46235</x:v>
      </x:c>
      <x:c r="C22" s="78" t="str">
        <x:v>مشهد</x:v>
      </x:c>
      <x:c r="D22" s="78" t="str">
        <x:v>Cloud Data</x:v>
      </x:c>
      <x:c r="E22" s="78" t="str">
        <x:v>Direct</x:v>
      </x:c>
      <x:c r="F22" s="87" t="n">
        <x:v>12100000000</x:v>
      </x:c>
      <x:c r="G22" s="87" t="n">
        <x:v>11600000000</x:v>
      </x:c>
      <x:c r="H22" s="87" t="n">
        <x:v>170</x:v>
      </x:c>
      <x:c r="I22" s="87" t="n">
        <x:f>F22-G22</x:f>
        <x:v>500000000</x:v>
      </x:c>
      <x:c r="J22" s="90" t="n">
        <x:f>IF(G22=0,0,I22/G22)</x:f>
        <x:v>0.04310344827586207</x:v>
      </x:c>
    </x:row>
    <x:row r="23" ht="23" customHeight="1">
      <x:c r="A23" s="78" t="str">
        <x:v>PKI-022</x:v>
      </x:c>
      <x:c r="B23" s="84" t="n">
        <x:v>46235</x:v>
      </x:c>
      <x:c r="C23" s="78" t="str">
        <x:v>مشهد</x:v>
      </x:c>
      <x:c r="D23" s="78" t="str">
        <x:v>Cloud Data</x:v>
      </x:c>
      <x:c r="E23" s="78" t="str">
        <x:v>Partner</x:v>
      </x:c>
      <x:c r="F23" s="87" t="n">
        <x:v>20100000000</x:v>
      </x:c>
      <x:c r="G23" s="87" t="n">
        <x:v>18800000000</x:v>
      </x:c>
      <x:c r="H23" s="87" t="n">
        <x:v>99</x:v>
      </x:c>
      <x:c r="I23" s="87" t="n">
        <x:f>F23-G23</x:f>
        <x:v>1300000000</x:v>
      </x:c>
      <x:c r="J23" s="90" t="n">
        <x:f>IF(G23=0,0,I23/G23)</x:f>
        <x:v>0.06914893617021277</x:v>
      </x:c>
    </x:row>
    <x:row r="24" ht="23" customHeight="1">
      <x:c r="A24" s="78" t="str">
        <x:v>PKI-023</x:v>
      </x:c>
      <x:c r="B24" s="84" t="n">
        <x:v>46235</x:v>
      </x:c>
      <x:c r="C24" s="78" t="str">
        <x:v>مشهد</x:v>
      </x:c>
      <x:c r="D24" s="78" t="str">
        <x:v>BI Support</x:v>
      </x:c>
      <x:c r="E24" s="78" t="str">
        <x:v>Direct</x:v>
      </x:c>
      <x:c r="F24" s="87" t="n">
        <x:v>15800000000</x:v>
      </x:c>
      <x:c r="G24" s="87" t="n">
        <x:v>15200000000</x:v>
      </x:c>
      <x:c r="H24" s="87" t="n">
        <x:v>116</x:v>
      </x:c>
      <x:c r="I24" s="87" t="n">
        <x:f>F24-G24</x:f>
        <x:v>600000000</x:v>
      </x:c>
      <x:c r="J24" s="90" t="n">
        <x:f>IF(G24=0,0,I24/G24)</x:f>
        <x:v>0.039473684210526314</x:v>
      </x:c>
    </x:row>
    <x:row r="25" ht="23" customHeight="1">
      <x:c r="A25" s="79" t="str">
        <x:v>PKI-024</x:v>
      </x:c>
      <x:c r="B25" s="85" t="n">
        <x:v>46235</x:v>
      </x:c>
      <x:c r="C25" s="79" t="str">
        <x:v>مشهد</x:v>
      </x:c>
      <x:c r="D25" s="79" t="str">
        <x:v>BI Support</x:v>
      </x:c>
      <x:c r="E25" s="79" t="str">
        <x:v>Partner</x:v>
      </x:c>
      <x:c r="F25" s="88" t="n">
        <x:v>11200000000</x:v>
      </x:c>
      <x:c r="G25" s="88" t="n">
        <x:v>10900000000</x:v>
      </x:c>
      <x:c r="H25" s="88" t="n">
        <x:v>133</x:v>
      </x:c>
      <x:c r="I25" s="88" t="n">
        <x:f>F25-G25</x:f>
        <x:v>300000000</x:v>
      </x:c>
      <x:c r="J25" s="91" t="n">
        <x:f>IF(G25=0,0,I25/G25)</x:f>
        <x:v>0.027522935779816515</x:v>
      </x:c>
    </x:row>
  </x:sheetData>
  <x:conditionalFormatting sqref="J2:J25">
    <x:cfRule type="colorScale" priority="1">
      <x:colorScale>
        <x:cfvo type="min"/>
        <x:cfvo type="percentile" val="50"/>
        <x:cfvo type="max"/>
        <x:color rgb="FFF45B69"/>
        <x:color rgb="FFFFF4D7"/>
        <x:color rgb="FF21B57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cc3be8845c04e4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7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34" customHeight="1">
      <x:c r="A1" s="94" t="str">
        <x:v>DAX Measures for Persian KPI Card</x:v>
      </x:c>
      <x:c r="B1" s="94"/>
      <x:c r="C1" s="94"/>
      <x:c r="D1" s="94"/>
      <x:c r="E1" s="94"/>
      <x:c r="F1" s="94"/>
    </x:row>
    <x:row r="2" ht="34" customHeight="1">
      <x:c r="A2" s="94"/>
      <x:c r="B2" s="94"/>
      <x:c r="C2" s="94"/>
      <x:c r="D2" s="94"/>
      <x:c r="E2" s="94"/>
      <x:c r="F2" s="94"/>
    </x:row>
    <x:row r="3" ht="28" customHeight="1"/>
    <x:row r="4" ht="28" customHeight="1">
      <x:c r="A4" s="97" t="str">
        <x:v>Measure</x:v>
      </x:c>
      <x:c r="B4" s="97" t="str">
        <x:v>DAX</x:v>
      </x:c>
    </x:row>
    <x:row r="5" ht="28" customHeight="1">
      <x:c r="A5" s="104" t="str">
        <x:v>Total Sales (Rial)</x:v>
      </x:c>
      <x:c r="B5" s="101" t="str">
        <x:v>Total Sales (Rial) = SUM(Sales[SalesCurrentRial])</x:v>
      </x:c>
    </x:row>
    <x:row r="6" ht="28" customHeight="1">
      <x:c r="A6" s="105" t="str">
        <x:v>Prior Sales (Rial)</x:v>
      </x:c>
      <x:c r="B6" s="102" t="str">
        <x:v>Prior Sales (Rial) = SUM(Sales[SalesPriorRial])</x:v>
      </x:c>
    </x:row>
    <x:row r="7" ht="28" customHeight="1">
      <x:c r="A7" s="106" t="str">
        <x:v>Sales Change %</x:v>
      </x:c>
      <x:c r="B7" s="103" t="str">
        <x:v>Sales Change % = DIVIDE([Total Sales (Rial)] - [Prior Sales (Rial)], [Prior Sales (Rial)], 0)</x:v>
      </x:c>
    </x:row>
    <x:row r="8" ht="28" customHeight="1"/>
    <x:row r="9" ht="28" customHeight="1">
      <x:c r="A9" s="25" t="str">
        <x:v>اتصال به ویژوال: Measure اول را در Value و Measure دوم را در Comparison Value قرار دهید. خود ویژوال درصد تغییر را محاسبه و با فلش مثبت، منفی یا خنثی نمایش می‌دهد.</x:v>
      </x:c>
      <x:c r="B9" s="26"/>
      <x:c r="C9" s="26"/>
      <x:c r="D9" s="26"/>
      <x:c r="E9" s="26"/>
      <x:c r="F9" s="27"/>
    </x:row>
    <x:row r="10" ht="28" customHeight="1">
      <x:c r="A10" s="115"/>
      <x:c r="B10" s="116"/>
      <x:c r="C10" s="116"/>
      <x:c r="D10" s="116"/>
      <x:c r="E10" s="116"/>
      <x:c r="F10" s="117"/>
    </x:row>
    <x:row r="11" ht="28" customHeight="1">
      <x:c r="A11" s="28"/>
      <x:c r="B11" s="29"/>
      <x:c r="C11" s="29"/>
      <x:c r="D11" s="29"/>
      <x:c r="E11" s="29"/>
      <x:c r="F11" s="30"/>
    </x:row>
  </x:sheetData>
  <x:mergeCells>
    <x:mergeCell ref="A1:F2"/>
    <x:mergeCell ref="A9:F11"/>
  </x:mergeCells>
  <x:pageMargins left="0.7" right="0.7" top="0.75" bottom="0.75" header="0.3" footer="0.3"/>
</x:worksheet>
</file>